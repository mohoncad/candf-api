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368" windowHeight="897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Sheet1!$A$1:$K$64</definedName>
  </definedNames>
  <calcPr calcId="152511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32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49" i="1" l="1"/>
  <c r="K48" i="1"/>
  <c r="K47" i="1"/>
  <c r="K46" i="1"/>
  <c r="K45" i="1"/>
  <c r="K44" i="1"/>
  <c r="K43" i="1"/>
  <c r="K42" i="1"/>
  <c r="K41" i="1"/>
  <c r="K40" i="1"/>
  <c r="K39" i="1"/>
  <c r="K38" i="1"/>
  <c r="K57" i="1"/>
  <c r="K56" i="1"/>
  <c r="K55" i="1"/>
  <c r="K54" i="1"/>
  <c r="K53" i="1"/>
  <c r="K52" i="1"/>
  <c r="K51" i="1"/>
  <c r="K50" i="1"/>
  <c r="K37" i="1"/>
  <c r="K36" i="1"/>
  <c r="K35" i="1"/>
  <c r="K34" i="1"/>
  <c r="K59" i="1" l="1"/>
  <c r="J63" i="1"/>
  <c r="I63" i="1"/>
  <c r="H63" i="1"/>
  <c r="K58" i="1"/>
  <c r="G63" i="1"/>
  <c r="K62" i="1"/>
  <c r="K60" i="1" l="1"/>
  <c r="K63" i="1" s="1"/>
</calcChain>
</file>

<file path=xl/sharedStrings.xml><?xml version="1.0" encoding="utf-8"?>
<sst xmlns="http://schemas.openxmlformats.org/spreadsheetml/2006/main" count="195" uniqueCount="93">
  <si>
    <t>DATE</t>
  </si>
  <si>
    <t>IMPORTER</t>
  </si>
  <si>
    <t>B/E NO</t>
  </si>
  <si>
    <t>CTN/ROLL</t>
  </si>
  <si>
    <t>DELIVERY</t>
  </si>
  <si>
    <t>ASSESMENT</t>
  </si>
  <si>
    <t>DF VAT</t>
  </si>
  <si>
    <t>PORT BILL</t>
  </si>
  <si>
    <t xml:space="preserve">TOTAL </t>
  </si>
  <si>
    <t>MATEX</t>
  </si>
  <si>
    <t>02 PLT</t>
  </si>
  <si>
    <t>TOTAL</t>
  </si>
  <si>
    <t xml:space="preserve"> IMPORT BILL </t>
  </si>
  <si>
    <t xml:space="preserve">APEX </t>
  </si>
  <si>
    <t>720 PK</t>
  </si>
  <si>
    <t>04 PLT</t>
  </si>
  <si>
    <t>SOULTEX</t>
  </si>
  <si>
    <t>05 PLT</t>
  </si>
  <si>
    <t>80 DR</t>
  </si>
  <si>
    <t>EXTRA</t>
  </si>
  <si>
    <t>18 CTN</t>
  </si>
  <si>
    <t>21.03.24</t>
  </si>
  <si>
    <t>01 PLT</t>
  </si>
  <si>
    <t>09 CTN</t>
  </si>
  <si>
    <t>30.03.24</t>
  </si>
  <si>
    <t>27.03.24</t>
  </si>
  <si>
    <t>25 BL</t>
  </si>
  <si>
    <t>MONTH OF APPRIL 2024</t>
  </si>
  <si>
    <t>01.04.24</t>
  </si>
  <si>
    <t>28.03.24</t>
  </si>
  <si>
    <t>42 CTN</t>
  </si>
  <si>
    <t>31.03.24</t>
  </si>
  <si>
    <t>113 CTN</t>
  </si>
  <si>
    <t>03.04.24</t>
  </si>
  <si>
    <t>03 PLT</t>
  </si>
  <si>
    <t>05.04.24</t>
  </si>
  <si>
    <t>18.04.24</t>
  </si>
  <si>
    <t>17.04.24</t>
  </si>
  <si>
    <t>52 CTN</t>
  </si>
  <si>
    <t>16.04.24</t>
  </si>
  <si>
    <t>19 ROLL</t>
  </si>
  <si>
    <t>20.04.24</t>
  </si>
  <si>
    <t>68 ROLL</t>
  </si>
  <si>
    <t>21.04.24</t>
  </si>
  <si>
    <t>22.04.24</t>
  </si>
  <si>
    <t>114 ROLL</t>
  </si>
  <si>
    <t>724 PK</t>
  </si>
  <si>
    <t>24.04.24</t>
  </si>
  <si>
    <t>28.04.24</t>
  </si>
  <si>
    <t>23.04.24</t>
  </si>
  <si>
    <t>730 BG</t>
  </si>
  <si>
    <t>25.04.24</t>
  </si>
  <si>
    <t>872 CTN</t>
  </si>
  <si>
    <t>29.04.24</t>
  </si>
  <si>
    <t>222 PK</t>
  </si>
  <si>
    <t>11 PLT</t>
  </si>
  <si>
    <t>02.04.24</t>
  </si>
  <si>
    <t>140 DR</t>
  </si>
  <si>
    <t>06.04.24</t>
  </si>
  <si>
    <t>04.04.24</t>
  </si>
  <si>
    <t>20 DR</t>
  </si>
  <si>
    <t>152 DR</t>
  </si>
  <si>
    <t>30.04.24</t>
  </si>
  <si>
    <t>BANDO</t>
  </si>
  <si>
    <t>60 ROLL</t>
  </si>
  <si>
    <t>510 BL</t>
  </si>
  <si>
    <t>75 BL</t>
  </si>
  <si>
    <t>08.04.24</t>
  </si>
  <si>
    <t>CORUS</t>
  </si>
  <si>
    <t>427 BL</t>
  </si>
  <si>
    <t>426 BL</t>
  </si>
  <si>
    <t>509 ROLL</t>
  </si>
  <si>
    <t>133 ROLL</t>
  </si>
  <si>
    <t>126 ROLL</t>
  </si>
  <si>
    <t>125 BL</t>
  </si>
  <si>
    <t>136 BL</t>
  </si>
  <si>
    <t>62 ROLL</t>
  </si>
  <si>
    <t>47 ROLL</t>
  </si>
  <si>
    <t>459 ROLL</t>
  </si>
  <si>
    <t>374 ROLL</t>
  </si>
  <si>
    <t>107 BL</t>
  </si>
  <si>
    <t>JABE</t>
  </si>
  <si>
    <t>268 BL</t>
  </si>
  <si>
    <t>ORIENTAL</t>
  </si>
  <si>
    <t>23 PLT</t>
  </si>
  <si>
    <t>27.04.24</t>
  </si>
  <si>
    <t>207 BL</t>
  </si>
  <si>
    <t>S.S. FASHI</t>
  </si>
  <si>
    <t>32 ROLL</t>
  </si>
  <si>
    <t>236 BL</t>
  </si>
  <si>
    <t>69 BL</t>
  </si>
  <si>
    <t>EPZ</t>
  </si>
  <si>
    <t>66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</si>
</sst>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/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3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43" fontId="4" fillId="4" borderId="3" xfId="1" applyFont="1" applyFill="1" applyBorder="1"/>
    <xf numFmtId="43" fontId="4" fillId="4" borderId="3" xfId="0" applyNumberFormat="1" applyFont="1" applyFill="1" applyBorder="1"/>
    <xf numFmtId="43" fontId="4" fillId="4" borderId="3" xfId="1" applyFont="1" applyFill="1" applyBorder="1" applyAlignment="1">
      <alignment horizontal="right"/>
    </xf>
    <xf numFmtId="16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4" fillId="0" borderId="3" xfId="1" applyFont="1" applyBorder="1"/>
    <xf numFmtId="164" fontId="4" fillId="0" borderId="5" xfId="0" applyNumberFormat="1" applyFont="1" applyBorder="1" applyAlignment="1">
      <alignment horizontal="center"/>
    </xf>
    <xf numFmtId="164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43" fontId="6" fillId="2" borderId="3" xfId="1" applyFont="1" applyFill="1" applyBorder="1" applyAlignment="1">
      <alignment vertical="center"/>
    </xf>
    <xf numFmtId="43" fontId="6" fillId="2" borderId="3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center"/>
    </xf>
    <xf numFmtId="43" fontId="0" fillId="0" borderId="0" xfId="0" applyNumberFormat="1"/>
    <xf numFmtId="43" fontId="4" fillId="4" borderId="0" xfId="1" applyFont="1" applyFill="1" applyBorder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Views>
    <sheetView tabSelected="1" workbookViewId="0">
      <selection activeCell="A3" sqref="A3:XFD32"/>
    </sheetView>
  </sheetViews>
  <sheetFormatPr defaultRowHeight="14.4" x14ac:dyDescent="0.3"/>
  <cols>
    <col min="1" max="1" width="13.44140625" customWidth="1"/>
    <col min="2" max="2" width="13.88671875" customWidth="1"/>
    <col min="3" max="3" width="18.109375" customWidth="1"/>
    <col min="4" max="4" width="13.88671875" customWidth="1"/>
    <col min="5" max="5" width="13.44140625" customWidth="1"/>
    <col min="6" max="6" width="12.33203125" customWidth="1"/>
    <col min="7" max="7" width="14.5546875" customWidth="1"/>
    <col min="8" max="8" width="14.33203125" customWidth="1"/>
    <col min="9" max="9" width="17" customWidth="1"/>
    <col min="10" max="10" width="20.5546875" customWidth="1"/>
    <col min="11" max="11" width="20" customWidth="1"/>
    <col min="12" max="12" width="13.6640625" customWidth="1"/>
    <col min="24" max="24" width="10.5546875" customWidth="1"/>
  </cols>
  <sheetData>
    <row r="1" spans="1:24" ht="22.8" x14ac:dyDescent="0.3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24" ht="17.399999999999999" x14ac:dyDescent="0.3">
      <c r="A2" s="20" t="s">
        <v>27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24" x14ac:dyDescent="0.3">
      <c r="A3" s="1"/>
      <c r="B3" s="2" t="s">
        <v>0</v>
      </c>
      <c r="C3" s="2" t="s">
        <v>1</v>
      </c>
      <c r="D3" s="2" t="s">
        <v>2</v>
      </c>
      <c r="E3" s="2" t="s">
        <v>0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spans="1:24" x14ac:dyDescent="0.3">
      <c r="A4" s="3">
        <v>1</v>
      </c>
      <c r="B4" s="4" t="s">
        <v>28</v>
      </c>
      <c r="C4" s="4" t="s">
        <v>13</v>
      </c>
      <c r="D4" s="3">
        <v>615285</v>
      </c>
      <c r="E4" s="4" t="s">
        <v>29</v>
      </c>
      <c r="F4" s="3" t="s">
        <v>30</v>
      </c>
      <c r="G4" s="5">
        <v>8060</v>
      </c>
      <c r="H4" s="5">
        <v>1000</v>
      </c>
      <c r="I4" s="5">
        <v>1355.55</v>
      </c>
      <c r="J4" s="5">
        <v>474.49</v>
      </c>
      <c r="K4" s="6">
        <f>G4+H4+I4+J4</f>
        <v>10890.039999999999</v>
      </c>
      <c r="L4" s="17"/>
    </row>
    <row r="5" spans="1:24" x14ac:dyDescent="0.3">
      <c r="A5" s="3">
        <v>2</v>
      </c>
      <c r="B5" s="4"/>
      <c r="C5" s="4" t="s">
        <v>13</v>
      </c>
      <c r="D5" s="3">
        <v>636757</v>
      </c>
      <c r="E5" s="4" t="s">
        <v>31</v>
      </c>
      <c r="F5" s="3" t="s">
        <v>32</v>
      </c>
      <c r="G5" s="7">
        <v>6840</v>
      </c>
      <c r="H5" s="7">
        <v>1000</v>
      </c>
      <c r="I5" s="7">
        <v>2394.5700000000002</v>
      </c>
      <c r="J5" s="7">
        <v>5436.27</v>
      </c>
      <c r="K5" s="6">
        <f t="shared" ref="K5:K59" si="0">G5+H5+I5+J5</f>
        <v>15670.84</v>
      </c>
    </row>
    <row r="6" spans="1:24" x14ac:dyDescent="0.3">
      <c r="A6" s="3">
        <v>3</v>
      </c>
      <c r="B6" s="4" t="s">
        <v>33</v>
      </c>
      <c r="C6" s="4" t="s">
        <v>13</v>
      </c>
      <c r="D6" s="3">
        <v>633571</v>
      </c>
      <c r="E6" s="4" t="s">
        <v>24</v>
      </c>
      <c r="F6" s="3" t="s">
        <v>15</v>
      </c>
      <c r="G6" s="5">
        <v>7050</v>
      </c>
      <c r="H6" s="5">
        <v>1000</v>
      </c>
      <c r="I6" s="5">
        <v>1325.33</v>
      </c>
      <c r="J6" s="5">
        <v>4238.26</v>
      </c>
      <c r="K6" s="6">
        <f t="shared" si="0"/>
        <v>13613.59</v>
      </c>
    </row>
    <row r="7" spans="1:24" x14ac:dyDescent="0.3">
      <c r="A7" s="3">
        <v>4</v>
      </c>
      <c r="B7" s="4"/>
      <c r="C7" s="4" t="s">
        <v>13</v>
      </c>
      <c r="D7" s="3">
        <v>645452</v>
      </c>
      <c r="E7" s="4" t="s">
        <v>28</v>
      </c>
      <c r="F7" s="3" t="s">
        <v>14</v>
      </c>
      <c r="G7" s="5">
        <v>8240</v>
      </c>
      <c r="H7" s="5">
        <v>1000</v>
      </c>
      <c r="I7" s="5">
        <v>3285.76</v>
      </c>
      <c r="J7" s="5">
        <v>3564.29</v>
      </c>
      <c r="K7" s="6">
        <f t="shared" si="0"/>
        <v>16090.05</v>
      </c>
    </row>
    <row r="8" spans="1:24" x14ac:dyDescent="0.3">
      <c r="A8" s="3">
        <v>5</v>
      </c>
      <c r="B8" s="4"/>
      <c r="C8" s="4" t="s">
        <v>13</v>
      </c>
      <c r="D8" s="3">
        <v>638538</v>
      </c>
      <c r="E8" s="4" t="s">
        <v>31</v>
      </c>
      <c r="F8" s="3" t="s">
        <v>34</v>
      </c>
      <c r="G8" s="5">
        <v>7150</v>
      </c>
      <c r="H8" s="5">
        <v>1000</v>
      </c>
      <c r="I8" s="5">
        <v>1047.8499999999999</v>
      </c>
      <c r="J8" s="5">
        <v>3409.16</v>
      </c>
      <c r="K8" s="6">
        <f t="shared" si="0"/>
        <v>12607.01</v>
      </c>
    </row>
    <row r="9" spans="1:24" x14ac:dyDescent="0.3">
      <c r="A9" s="3">
        <v>6</v>
      </c>
      <c r="B9" s="4" t="s">
        <v>35</v>
      </c>
      <c r="C9" s="4" t="s">
        <v>13</v>
      </c>
      <c r="D9" s="3">
        <v>645427</v>
      </c>
      <c r="E9" s="4" t="s">
        <v>28</v>
      </c>
      <c r="F9" s="3" t="s">
        <v>20</v>
      </c>
      <c r="G9" s="5">
        <v>7625</v>
      </c>
      <c r="H9" s="5">
        <v>1000</v>
      </c>
      <c r="I9" s="5">
        <v>449.2</v>
      </c>
      <c r="J9" s="5">
        <v>461.06</v>
      </c>
      <c r="K9" s="6">
        <f t="shared" si="0"/>
        <v>9535.26</v>
      </c>
    </row>
    <row r="10" spans="1:24" x14ac:dyDescent="0.3">
      <c r="A10" s="3">
        <v>7</v>
      </c>
      <c r="B10" s="4"/>
      <c r="C10" s="4" t="s">
        <v>13</v>
      </c>
      <c r="D10" s="3">
        <v>633638</v>
      </c>
      <c r="E10" s="4" t="s">
        <v>24</v>
      </c>
      <c r="F10" s="3" t="s">
        <v>23</v>
      </c>
      <c r="G10" s="5">
        <v>7150</v>
      </c>
      <c r="H10" s="5">
        <v>4000</v>
      </c>
      <c r="I10" s="5">
        <v>2108.46</v>
      </c>
      <c r="J10" s="5">
        <v>397.58</v>
      </c>
      <c r="K10" s="6">
        <f t="shared" si="0"/>
        <v>13656.039999999999</v>
      </c>
      <c r="W10" s="5"/>
      <c r="X10" s="5"/>
    </row>
    <row r="11" spans="1:24" x14ac:dyDescent="0.3">
      <c r="A11" s="3">
        <v>8</v>
      </c>
      <c r="B11" s="4" t="s">
        <v>36</v>
      </c>
      <c r="C11" s="4" t="s">
        <v>13</v>
      </c>
      <c r="D11" s="3">
        <v>727728</v>
      </c>
      <c r="E11" s="4" t="s">
        <v>37</v>
      </c>
      <c r="F11" s="3" t="s">
        <v>38</v>
      </c>
      <c r="G11" s="5">
        <v>8739</v>
      </c>
      <c r="H11" s="5">
        <v>1000</v>
      </c>
      <c r="I11" s="5">
        <v>1333.04</v>
      </c>
      <c r="J11" s="5">
        <v>2461.79</v>
      </c>
      <c r="K11" s="6">
        <f t="shared" si="0"/>
        <v>13533.830000000002</v>
      </c>
      <c r="W11" s="18"/>
      <c r="X11" s="18"/>
    </row>
    <row r="12" spans="1:24" x14ac:dyDescent="0.3">
      <c r="A12" s="3">
        <v>9</v>
      </c>
      <c r="B12" s="4" t="s">
        <v>39</v>
      </c>
      <c r="C12" s="4" t="s">
        <v>13</v>
      </c>
      <c r="D12" s="3">
        <v>669124</v>
      </c>
      <c r="E12" s="4" t="s">
        <v>33</v>
      </c>
      <c r="F12" s="3" t="s">
        <v>40</v>
      </c>
      <c r="G12" s="5">
        <v>7150</v>
      </c>
      <c r="H12" s="5">
        <v>1000</v>
      </c>
      <c r="I12" s="5">
        <v>789.14</v>
      </c>
      <c r="J12" s="5">
        <v>532.17999999999995</v>
      </c>
      <c r="K12" s="6">
        <f t="shared" si="0"/>
        <v>9471.32</v>
      </c>
      <c r="W12" s="18"/>
      <c r="X12" s="18"/>
    </row>
    <row r="13" spans="1:24" x14ac:dyDescent="0.3">
      <c r="A13" s="3">
        <v>10</v>
      </c>
      <c r="B13" s="4" t="s">
        <v>41</v>
      </c>
      <c r="C13" s="4" t="s">
        <v>13</v>
      </c>
      <c r="D13" s="3">
        <v>722137</v>
      </c>
      <c r="E13" s="4" t="s">
        <v>39</v>
      </c>
      <c r="F13" s="3" t="s">
        <v>42</v>
      </c>
      <c r="G13" s="5">
        <v>9720</v>
      </c>
      <c r="H13" s="5">
        <v>1000</v>
      </c>
      <c r="I13" s="5">
        <v>1792.59</v>
      </c>
      <c r="J13" s="5">
        <v>833.62</v>
      </c>
      <c r="K13" s="6">
        <f t="shared" si="0"/>
        <v>13346.210000000001</v>
      </c>
      <c r="W13" s="18"/>
      <c r="X13" s="18"/>
    </row>
    <row r="14" spans="1:24" x14ac:dyDescent="0.3">
      <c r="A14" s="3">
        <v>11</v>
      </c>
      <c r="B14" s="4" t="s">
        <v>43</v>
      </c>
      <c r="C14" s="4" t="s">
        <v>13</v>
      </c>
      <c r="D14" s="3">
        <v>746361</v>
      </c>
      <c r="E14" s="4" t="s">
        <v>43</v>
      </c>
      <c r="F14" s="3" t="s">
        <v>34</v>
      </c>
      <c r="G14" s="5">
        <v>11457</v>
      </c>
      <c r="H14" s="5">
        <v>2000</v>
      </c>
      <c r="I14" s="5">
        <v>1008.51</v>
      </c>
      <c r="J14" s="5">
        <v>2803.48</v>
      </c>
      <c r="K14" s="6">
        <f t="shared" si="0"/>
        <v>17268.990000000002</v>
      </c>
      <c r="W14" s="18"/>
      <c r="X14" s="18"/>
    </row>
    <row r="15" spans="1:24" x14ac:dyDescent="0.3">
      <c r="A15" s="3">
        <v>12</v>
      </c>
      <c r="B15" s="4" t="s">
        <v>44</v>
      </c>
      <c r="C15" s="4" t="s">
        <v>13</v>
      </c>
      <c r="D15" s="3">
        <v>732108</v>
      </c>
      <c r="E15" s="4" t="s">
        <v>36</v>
      </c>
      <c r="F15" s="3" t="s">
        <v>45</v>
      </c>
      <c r="G15" s="5">
        <v>9900</v>
      </c>
      <c r="H15" s="5">
        <v>1000</v>
      </c>
      <c r="I15" s="5">
        <v>2203.04</v>
      </c>
      <c r="J15" s="5">
        <v>1538.84</v>
      </c>
      <c r="K15" s="6">
        <f t="shared" si="0"/>
        <v>14641.880000000001</v>
      </c>
      <c r="W15" s="18"/>
      <c r="X15" s="18"/>
    </row>
    <row r="16" spans="1:24" x14ac:dyDescent="0.3">
      <c r="A16" s="3">
        <v>13</v>
      </c>
      <c r="B16" s="4"/>
      <c r="C16" s="4" t="s">
        <v>13</v>
      </c>
      <c r="D16" s="3">
        <v>746360</v>
      </c>
      <c r="E16" s="4" t="s">
        <v>43</v>
      </c>
      <c r="F16" s="3" t="s">
        <v>34</v>
      </c>
      <c r="G16" s="5">
        <v>7716</v>
      </c>
      <c r="H16" s="5">
        <v>1000</v>
      </c>
      <c r="I16" s="5">
        <v>1021.6</v>
      </c>
      <c r="J16" s="5">
        <v>2918.84</v>
      </c>
      <c r="K16" s="6">
        <f t="shared" si="0"/>
        <v>12656.44</v>
      </c>
      <c r="W16" s="18"/>
      <c r="X16" s="18"/>
    </row>
    <row r="17" spans="1:24" x14ac:dyDescent="0.3">
      <c r="A17" s="3">
        <v>14</v>
      </c>
      <c r="B17" s="4"/>
      <c r="C17" s="4" t="s">
        <v>13</v>
      </c>
      <c r="D17" s="3">
        <v>732168</v>
      </c>
      <c r="E17" s="4" t="s">
        <v>36</v>
      </c>
      <c r="F17" s="3" t="s">
        <v>10</v>
      </c>
      <c r="G17" s="5">
        <v>7145</v>
      </c>
      <c r="H17" s="5">
        <v>1000</v>
      </c>
      <c r="I17" s="5">
        <v>543.54</v>
      </c>
      <c r="J17" s="5">
        <v>1202.95</v>
      </c>
      <c r="K17" s="6">
        <f t="shared" si="0"/>
        <v>9891.4900000000016</v>
      </c>
      <c r="W17" s="18"/>
      <c r="X17" s="18"/>
    </row>
    <row r="18" spans="1:24" x14ac:dyDescent="0.3">
      <c r="A18" s="3">
        <v>15</v>
      </c>
      <c r="B18" s="4"/>
      <c r="C18" s="4" t="s">
        <v>13</v>
      </c>
      <c r="D18" s="3">
        <v>732199</v>
      </c>
      <c r="E18" s="4" t="s">
        <v>36</v>
      </c>
      <c r="F18" s="3" t="s">
        <v>46</v>
      </c>
      <c r="G18" s="5">
        <v>16804</v>
      </c>
      <c r="H18" s="5">
        <v>1000</v>
      </c>
      <c r="I18" s="5">
        <v>3321.94</v>
      </c>
      <c r="J18" s="5">
        <v>8118.29</v>
      </c>
      <c r="K18" s="6">
        <f t="shared" si="0"/>
        <v>29244.23</v>
      </c>
      <c r="W18" s="18"/>
      <c r="X18" s="18"/>
    </row>
    <row r="19" spans="1:24" x14ac:dyDescent="0.3">
      <c r="A19" s="3">
        <v>16</v>
      </c>
      <c r="B19" s="4" t="s">
        <v>47</v>
      </c>
      <c r="C19" s="4" t="s">
        <v>13</v>
      </c>
      <c r="D19" s="3">
        <v>752171</v>
      </c>
      <c r="E19" s="4" t="s">
        <v>44</v>
      </c>
      <c r="F19" s="16" t="s">
        <v>15</v>
      </c>
      <c r="G19" s="5">
        <v>11329</v>
      </c>
      <c r="H19" s="5">
        <v>1000</v>
      </c>
      <c r="I19" s="5">
        <v>1072.05</v>
      </c>
      <c r="J19" s="5">
        <v>2918.84</v>
      </c>
      <c r="K19" s="6">
        <f t="shared" si="0"/>
        <v>16319.89</v>
      </c>
      <c r="W19" s="18"/>
      <c r="X19" s="18"/>
    </row>
    <row r="20" spans="1:24" x14ac:dyDescent="0.3">
      <c r="A20" s="3">
        <v>17</v>
      </c>
      <c r="B20" s="4" t="s">
        <v>48</v>
      </c>
      <c r="C20" s="4" t="s">
        <v>13</v>
      </c>
      <c r="D20" s="3">
        <v>768313</v>
      </c>
      <c r="E20" s="4" t="s">
        <v>49</v>
      </c>
      <c r="F20" s="16" t="s">
        <v>50</v>
      </c>
      <c r="G20" s="5">
        <v>8586</v>
      </c>
      <c r="H20" s="5">
        <v>1000</v>
      </c>
      <c r="I20" s="5">
        <v>3313.37</v>
      </c>
      <c r="J20" s="5">
        <v>3564.29</v>
      </c>
      <c r="K20" s="6">
        <f t="shared" si="0"/>
        <v>16463.66</v>
      </c>
      <c r="W20" s="18"/>
      <c r="X20" s="18"/>
    </row>
    <row r="21" spans="1:24" x14ac:dyDescent="0.3">
      <c r="A21" s="3">
        <v>18</v>
      </c>
      <c r="B21" s="4"/>
      <c r="C21" s="4" t="s">
        <v>13</v>
      </c>
      <c r="D21" s="3">
        <v>774529</v>
      </c>
      <c r="E21" s="4" t="s">
        <v>51</v>
      </c>
      <c r="F21" s="16" t="s">
        <v>52</v>
      </c>
      <c r="G21" s="5">
        <v>17036</v>
      </c>
      <c r="H21" s="5">
        <v>2000</v>
      </c>
      <c r="I21" s="5">
        <v>3159.97</v>
      </c>
      <c r="J21" s="5">
        <v>5205.5600000000004</v>
      </c>
      <c r="K21" s="6">
        <f t="shared" si="0"/>
        <v>27401.530000000002</v>
      </c>
      <c r="W21" s="18"/>
      <c r="X21" s="18"/>
    </row>
    <row r="22" spans="1:24" x14ac:dyDescent="0.3">
      <c r="A22" s="3">
        <v>19</v>
      </c>
      <c r="B22" s="4" t="s">
        <v>53</v>
      </c>
      <c r="C22" s="4" t="s">
        <v>13</v>
      </c>
      <c r="D22" s="3">
        <v>763600</v>
      </c>
      <c r="E22" s="4" t="s">
        <v>49</v>
      </c>
      <c r="F22" s="16" t="s">
        <v>54</v>
      </c>
      <c r="G22" s="5">
        <v>39635</v>
      </c>
      <c r="H22" s="5">
        <v>4500</v>
      </c>
      <c r="I22" s="5">
        <v>1888.41</v>
      </c>
      <c r="J22" s="5">
        <v>18420.919999999998</v>
      </c>
      <c r="K22" s="6">
        <f t="shared" si="0"/>
        <v>64444.33</v>
      </c>
      <c r="W22" s="18"/>
      <c r="X22" s="18"/>
    </row>
    <row r="23" spans="1:24" x14ac:dyDescent="0.3">
      <c r="A23" s="3">
        <v>20</v>
      </c>
      <c r="B23" s="4" t="s">
        <v>28</v>
      </c>
      <c r="C23" s="4" t="s">
        <v>9</v>
      </c>
      <c r="D23" s="3">
        <v>613546</v>
      </c>
      <c r="E23" s="4" t="s">
        <v>25</v>
      </c>
      <c r="F23" s="3" t="s">
        <v>55</v>
      </c>
      <c r="G23" s="5">
        <v>12870</v>
      </c>
      <c r="H23" s="5">
        <v>31000</v>
      </c>
      <c r="I23" s="5">
        <v>3830.38</v>
      </c>
      <c r="J23" s="5">
        <v>21911.8</v>
      </c>
      <c r="K23" s="6">
        <f t="shared" si="0"/>
        <v>69612.179999999993</v>
      </c>
    </row>
    <row r="24" spans="1:24" x14ac:dyDescent="0.3">
      <c r="A24" s="3">
        <v>21</v>
      </c>
      <c r="B24" s="4" t="s">
        <v>56</v>
      </c>
      <c r="C24" s="4" t="s">
        <v>9</v>
      </c>
      <c r="D24" s="3">
        <v>637008</v>
      </c>
      <c r="E24" s="4" t="s">
        <v>31</v>
      </c>
      <c r="F24" s="3" t="s">
        <v>57</v>
      </c>
      <c r="G24" s="5">
        <v>25900</v>
      </c>
      <c r="H24" s="5">
        <v>29500</v>
      </c>
      <c r="I24" s="5">
        <v>12537.47</v>
      </c>
      <c r="J24" s="5">
        <v>199720.89</v>
      </c>
      <c r="K24" s="6">
        <f t="shared" si="0"/>
        <v>267658.36</v>
      </c>
    </row>
    <row r="25" spans="1:24" x14ac:dyDescent="0.3">
      <c r="A25" s="3">
        <v>22</v>
      </c>
      <c r="B25" s="4" t="s">
        <v>58</v>
      </c>
      <c r="C25" s="4" t="s">
        <v>9</v>
      </c>
      <c r="D25" s="3">
        <v>660718</v>
      </c>
      <c r="E25" s="4" t="s">
        <v>56</v>
      </c>
      <c r="F25" s="3" t="s">
        <v>18</v>
      </c>
      <c r="G25" s="5">
        <v>11665</v>
      </c>
      <c r="H25" s="5">
        <v>5000</v>
      </c>
      <c r="I25" s="5">
        <v>4074.15</v>
      </c>
      <c r="J25" s="5">
        <v>1641.27</v>
      </c>
      <c r="K25" s="6">
        <f t="shared" si="0"/>
        <v>22380.420000000002</v>
      </c>
    </row>
    <row r="26" spans="1:24" x14ac:dyDescent="0.3">
      <c r="A26" s="3">
        <v>23</v>
      </c>
      <c r="B26" s="4"/>
      <c r="C26" s="4" t="s">
        <v>9</v>
      </c>
      <c r="D26" s="3">
        <v>668480</v>
      </c>
      <c r="E26" s="4" t="s">
        <v>33</v>
      </c>
      <c r="F26" s="3" t="s">
        <v>22</v>
      </c>
      <c r="G26" s="5">
        <v>9815</v>
      </c>
      <c r="H26" s="5">
        <v>5000</v>
      </c>
      <c r="I26" s="5">
        <v>981.67</v>
      </c>
      <c r="J26" s="5">
        <v>4100.17</v>
      </c>
      <c r="K26" s="6">
        <f t="shared" si="0"/>
        <v>19896.84</v>
      </c>
    </row>
    <row r="27" spans="1:24" x14ac:dyDescent="0.3">
      <c r="A27" s="3">
        <v>24</v>
      </c>
      <c r="B27" s="4"/>
      <c r="C27" s="4" t="s">
        <v>9</v>
      </c>
      <c r="D27" s="3">
        <v>674870</v>
      </c>
      <c r="E27" s="4" t="s">
        <v>59</v>
      </c>
      <c r="F27" s="3" t="s">
        <v>60</v>
      </c>
      <c r="G27" s="5">
        <v>10565</v>
      </c>
      <c r="H27" s="5">
        <v>20500</v>
      </c>
      <c r="I27" s="5">
        <v>3125.45</v>
      </c>
      <c r="J27" s="5">
        <v>7564.02</v>
      </c>
      <c r="K27" s="6">
        <f t="shared" si="0"/>
        <v>41754.47</v>
      </c>
    </row>
    <row r="28" spans="1:24" x14ac:dyDescent="0.3">
      <c r="A28" s="3">
        <v>25</v>
      </c>
      <c r="B28" s="4" t="s">
        <v>53</v>
      </c>
      <c r="C28" s="4" t="s">
        <v>9</v>
      </c>
      <c r="D28" s="3">
        <v>751893</v>
      </c>
      <c r="E28" s="4" t="s">
        <v>44</v>
      </c>
      <c r="F28" s="16" t="s">
        <v>61</v>
      </c>
      <c r="G28" s="5">
        <v>17305</v>
      </c>
      <c r="H28" s="5">
        <v>52000</v>
      </c>
      <c r="I28" s="5">
        <v>5476.9</v>
      </c>
      <c r="J28" s="5">
        <v>82500.289999999994</v>
      </c>
      <c r="K28" s="6">
        <f t="shared" si="0"/>
        <v>157282.19</v>
      </c>
    </row>
    <row r="29" spans="1:24" x14ac:dyDescent="0.3">
      <c r="A29" s="3">
        <v>26</v>
      </c>
      <c r="B29" s="4" t="s">
        <v>62</v>
      </c>
      <c r="C29" s="4" t="s">
        <v>9</v>
      </c>
      <c r="D29" s="3">
        <v>752016</v>
      </c>
      <c r="E29" s="4" t="s">
        <v>44</v>
      </c>
      <c r="F29" s="16" t="s">
        <v>17</v>
      </c>
      <c r="G29" s="5">
        <v>13335</v>
      </c>
      <c r="H29" s="5">
        <v>12000</v>
      </c>
      <c r="I29" s="5">
        <v>2979.57</v>
      </c>
      <c r="J29" s="5">
        <v>4455.47</v>
      </c>
      <c r="K29" s="6">
        <f t="shared" si="0"/>
        <v>32770.04</v>
      </c>
    </row>
    <row r="30" spans="1:24" x14ac:dyDescent="0.3">
      <c r="A30" s="3">
        <v>27</v>
      </c>
      <c r="B30" s="4"/>
      <c r="C30" s="4" t="s">
        <v>19</v>
      </c>
      <c r="D30" s="3"/>
      <c r="E30" s="4"/>
      <c r="F30" s="16"/>
      <c r="G30" s="5">
        <v>5000</v>
      </c>
      <c r="H30" s="5">
        <v>5000</v>
      </c>
      <c r="I30" s="5"/>
      <c r="J30" s="5"/>
      <c r="K30" s="6">
        <f t="shared" si="0"/>
        <v>10000</v>
      </c>
    </row>
    <row r="31" spans="1:24" x14ac:dyDescent="0.3">
      <c r="A31" s="3"/>
      <c r="B31" s="8"/>
      <c r="C31" s="11"/>
      <c r="D31" s="1"/>
      <c r="E31" s="8"/>
      <c r="F31" s="9"/>
      <c r="G31" s="10"/>
      <c r="H31" s="10"/>
      <c r="I31" s="10"/>
      <c r="J31" s="10"/>
      <c r="K31" s="6">
        <f t="shared" si="0"/>
        <v>0</v>
      </c>
    </row>
    <row r="32" spans="1:24" x14ac:dyDescent="0.3">
      <c r="A32" s="3"/>
      <c r="B32" s="4"/>
      <c r="C32" s="4"/>
      <c r="D32" s="3"/>
      <c r="E32" s="4"/>
      <c r="F32" s="3"/>
      <c r="G32" s="5"/>
      <c r="H32" s="5"/>
      <c r="I32" s="5"/>
      <c r="J32" s="5" t="s">
        <v>11</v>
      </c>
      <c r="K32" s="6">
        <f>SUM(K4:K31)</f>
        <v>958101.12999999989</v>
      </c>
    </row>
    <row r="33" spans="1:11" x14ac:dyDescent="0.3">
      <c r="A33" s="3"/>
      <c r="B33" s="4"/>
      <c r="C33" s="4"/>
      <c r="D33" s="3"/>
      <c r="E33" s="4"/>
      <c r="F33" s="3"/>
      <c r="G33" s="5"/>
      <c r="H33" s="5"/>
      <c r="I33" s="5"/>
      <c r="J33" s="5"/>
      <c r="K33" s="6"/>
    </row>
    <row r="34" spans="1:11" x14ac:dyDescent="0.3">
      <c r="A34" s="3">
        <v>1</v>
      </c>
      <c r="B34" s="4" t="s">
        <v>28</v>
      </c>
      <c r="C34" s="4" t="s">
        <v>63</v>
      </c>
      <c r="D34" s="3">
        <v>611704</v>
      </c>
      <c r="E34" s="4" t="s">
        <v>25</v>
      </c>
      <c r="F34" s="3" t="s">
        <v>64</v>
      </c>
      <c r="G34" s="5">
        <v>8430</v>
      </c>
      <c r="H34" s="5">
        <v>1000</v>
      </c>
      <c r="I34" s="5">
        <v>1324.64</v>
      </c>
      <c r="J34" s="5">
        <v>1667.23</v>
      </c>
      <c r="K34" s="6">
        <f t="shared" si="0"/>
        <v>12421.869999999999</v>
      </c>
    </row>
    <row r="35" spans="1:11" x14ac:dyDescent="0.3">
      <c r="A35" s="3">
        <v>2</v>
      </c>
      <c r="B35" s="4" t="s">
        <v>35</v>
      </c>
      <c r="C35" s="4" t="s">
        <v>16</v>
      </c>
      <c r="D35" s="3">
        <v>645153</v>
      </c>
      <c r="E35" s="4" t="s">
        <v>28</v>
      </c>
      <c r="F35" s="3" t="s">
        <v>65</v>
      </c>
      <c r="G35" s="5">
        <v>30500</v>
      </c>
      <c r="H35" s="5">
        <v>1000</v>
      </c>
      <c r="I35" s="5">
        <v>2368.12</v>
      </c>
      <c r="J35" s="5">
        <v>4770.95</v>
      </c>
      <c r="K35" s="6">
        <f t="shared" si="0"/>
        <v>38639.07</v>
      </c>
    </row>
    <row r="36" spans="1:11" x14ac:dyDescent="0.3">
      <c r="A36" s="3">
        <v>3</v>
      </c>
      <c r="B36" s="4"/>
      <c r="C36" s="4" t="s">
        <v>16</v>
      </c>
      <c r="D36" s="3">
        <v>633283</v>
      </c>
      <c r="E36" s="4" t="s">
        <v>24</v>
      </c>
      <c r="F36" s="3" t="s">
        <v>26</v>
      </c>
      <c r="G36" s="5">
        <v>8725</v>
      </c>
      <c r="H36" s="5">
        <v>1000</v>
      </c>
      <c r="I36" s="5">
        <v>518.01</v>
      </c>
      <c r="J36" s="5">
        <v>397.58</v>
      </c>
      <c r="K36" s="6">
        <f t="shared" si="0"/>
        <v>10640.59</v>
      </c>
    </row>
    <row r="37" spans="1:11" x14ac:dyDescent="0.3">
      <c r="A37" s="3">
        <v>4</v>
      </c>
      <c r="B37" s="4"/>
      <c r="C37" s="4" t="s">
        <v>16</v>
      </c>
      <c r="D37" s="3">
        <v>633485</v>
      </c>
      <c r="E37" s="4" t="s">
        <v>24</v>
      </c>
      <c r="F37" s="3" t="s">
        <v>66</v>
      </c>
      <c r="G37" s="5">
        <v>11125</v>
      </c>
      <c r="H37" s="5">
        <v>1000</v>
      </c>
      <c r="I37" s="5">
        <v>1006.53</v>
      </c>
      <c r="J37" s="5">
        <v>795.16</v>
      </c>
      <c r="K37" s="6">
        <f t="shared" si="0"/>
        <v>13926.69</v>
      </c>
    </row>
    <row r="38" spans="1:11" x14ac:dyDescent="0.3">
      <c r="A38" s="3">
        <v>5</v>
      </c>
      <c r="B38" s="4" t="s">
        <v>67</v>
      </c>
      <c r="C38" s="4" t="s">
        <v>68</v>
      </c>
      <c r="D38" s="3">
        <v>668624</v>
      </c>
      <c r="E38" s="4" t="s">
        <v>33</v>
      </c>
      <c r="F38" s="3" t="s">
        <v>69</v>
      </c>
      <c r="G38" s="5">
        <v>12828</v>
      </c>
      <c r="H38" s="5">
        <v>1000</v>
      </c>
      <c r="I38" s="5">
        <v>2437.4899999999998</v>
      </c>
      <c r="J38" s="5">
        <v>4373.37</v>
      </c>
      <c r="K38" s="6">
        <f t="shared" si="0"/>
        <v>20638.86</v>
      </c>
    </row>
    <row r="39" spans="1:11" x14ac:dyDescent="0.3">
      <c r="A39" s="3">
        <v>6</v>
      </c>
      <c r="B39" s="4"/>
      <c r="C39" s="4" t="s">
        <v>68</v>
      </c>
      <c r="D39" s="3">
        <v>675136</v>
      </c>
      <c r="E39" s="4" t="s">
        <v>59</v>
      </c>
      <c r="F39" s="3" t="s">
        <v>70</v>
      </c>
      <c r="G39" s="5">
        <v>16019</v>
      </c>
      <c r="H39" s="5">
        <v>1000</v>
      </c>
      <c r="I39" s="5">
        <v>2424.8000000000002</v>
      </c>
      <c r="J39" s="5">
        <v>4373.37</v>
      </c>
      <c r="K39" s="6">
        <f t="shared" si="0"/>
        <v>23817.17</v>
      </c>
    </row>
    <row r="40" spans="1:11" x14ac:dyDescent="0.3">
      <c r="A40" s="3">
        <v>7</v>
      </c>
      <c r="B40" s="4" t="s">
        <v>36</v>
      </c>
      <c r="C40" s="4" t="s">
        <v>63</v>
      </c>
      <c r="D40" s="3">
        <v>722116</v>
      </c>
      <c r="E40" s="4" t="s">
        <v>39</v>
      </c>
      <c r="F40" s="3" t="s">
        <v>71</v>
      </c>
      <c r="G40" s="5">
        <v>11770</v>
      </c>
      <c r="H40" s="5">
        <v>2000</v>
      </c>
      <c r="I40" s="5">
        <v>4546.84</v>
      </c>
      <c r="J40" s="5">
        <v>6600.29</v>
      </c>
      <c r="K40" s="6">
        <f t="shared" si="0"/>
        <v>24917.13</v>
      </c>
    </row>
    <row r="41" spans="1:11" x14ac:dyDescent="0.3">
      <c r="A41" s="3">
        <v>8</v>
      </c>
      <c r="B41" s="4" t="s">
        <v>41</v>
      </c>
      <c r="C41" s="4" t="s">
        <v>63</v>
      </c>
      <c r="D41" s="3">
        <v>668791</v>
      </c>
      <c r="E41" s="4" t="s">
        <v>33</v>
      </c>
      <c r="F41" s="3" t="s">
        <v>72</v>
      </c>
      <c r="G41" s="5">
        <v>30125</v>
      </c>
      <c r="H41" s="5">
        <v>3000</v>
      </c>
      <c r="I41" s="5">
        <v>1190.3800000000001</v>
      </c>
      <c r="J41" s="5">
        <v>2461.79</v>
      </c>
      <c r="K41" s="6">
        <f t="shared" si="0"/>
        <v>36777.17</v>
      </c>
    </row>
    <row r="42" spans="1:11" x14ac:dyDescent="0.3">
      <c r="A42" s="3">
        <v>9</v>
      </c>
      <c r="B42" s="4"/>
      <c r="C42" s="4" t="s">
        <v>63</v>
      </c>
      <c r="D42" s="3">
        <v>722120</v>
      </c>
      <c r="E42" s="4" t="s">
        <v>39</v>
      </c>
      <c r="F42" s="3" t="s">
        <v>73</v>
      </c>
      <c r="G42" s="5">
        <v>10050</v>
      </c>
      <c r="H42" s="5">
        <v>1000</v>
      </c>
      <c r="I42" s="5">
        <v>2058.44</v>
      </c>
      <c r="J42" s="5">
        <v>3795.93</v>
      </c>
      <c r="K42" s="6">
        <f t="shared" si="0"/>
        <v>16904.37</v>
      </c>
    </row>
    <row r="43" spans="1:11" x14ac:dyDescent="0.3">
      <c r="A43" s="3">
        <v>10</v>
      </c>
      <c r="B43" s="4"/>
      <c r="C43" s="4" t="s">
        <v>16</v>
      </c>
      <c r="D43" s="3">
        <v>722132</v>
      </c>
      <c r="E43" s="4" t="s">
        <v>39</v>
      </c>
      <c r="F43" s="3" t="s">
        <v>74</v>
      </c>
      <c r="G43" s="5">
        <v>10875</v>
      </c>
      <c r="H43" s="5">
        <v>1000</v>
      </c>
      <c r="I43" s="5">
        <v>1399.21</v>
      </c>
      <c r="J43" s="5">
        <v>1897.97</v>
      </c>
      <c r="K43" s="6">
        <f t="shared" si="0"/>
        <v>15172.179999999998</v>
      </c>
    </row>
    <row r="44" spans="1:11" x14ac:dyDescent="0.3">
      <c r="A44" s="3">
        <v>11</v>
      </c>
      <c r="B44" s="4" t="s">
        <v>44</v>
      </c>
      <c r="C44" s="4" t="s">
        <v>68</v>
      </c>
      <c r="D44" s="3">
        <v>734729</v>
      </c>
      <c r="E44" s="4" t="s">
        <v>36</v>
      </c>
      <c r="F44" s="3" t="s">
        <v>75</v>
      </c>
      <c r="G44" s="5">
        <v>9980</v>
      </c>
      <c r="H44" s="5">
        <v>1000</v>
      </c>
      <c r="I44" s="5">
        <v>1569.91</v>
      </c>
      <c r="J44" s="5">
        <v>2051.79</v>
      </c>
      <c r="K44" s="6">
        <f t="shared" si="0"/>
        <v>14601.7</v>
      </c>
    </row>
    <row r="45" spans="1:11" x14ac:dyDescent="0.3">
      <c r="A45" s="3">
        <v>12</v>
      </c>
      <c r="B45" s="4" t="s">
        <v>49</v>
      </c>
      <c r="C45" s="4" t="s">
        <v>63</v>
      </c>
      <c r="D45" s="3">
        <v>732389</v>
      </c>
      <c r="E45" s="4" t="s">
        <v>36</v>
      </c>
      <c r="F45" s="16" t="s">
        <v>76</v>
      </c>
      <c r="G45" s="5">
        <v>8470</v>
      </c>
      <c r="H45" s="5">
        <v>1000</v>
      </c>
      <c r="I45" s="5">
        <v>1459.46</v>
      </c>
      <c r="J45" s="5">
        <v>1590.32</v>
      </c>
      <c r="K45" s="6">
        <f t="shared" si="0"/>
        <v>12519.779999999999</v>
      </c>
    </row>
    <row r="46" spans="1:11" x14ac:dyDescent="0.3">
      <c r="A46" s="3">
        <v>13</v>
      </c>
      <c r="B46" s="4"/>
      <c r="C46" s="4" t="s">
        <v>63</v>
      </c>
      <c r="D46" s="3">
        <v>732339</v>
      </c>
      <c r="E46" s="4" t="s">
        <v>36</v>
      </c>
      <c r="F46" s="16" t="s">
        <v>77</v>
      </c>
      <c r="G46" s="5">
        <v>8170</v>
      </c>
      <c r="H46" s="5">
        <v>1000</v>
      </c>
      <c r="I46" s="5">
        <v>1259.05</v>
      </c>
      <c r="J46" s="5">
        <v>1192.74</v>
      </c>
      <c r="K46" s="6">
        <f t="shared" si="0"/>
        <v>11621.789999999999</v>
      </c>
    </row>
    <row r="47" spans="1:11" x14ac:dyDescent="0.3">
      <c r="A47" s="3">
        <v>14</v>
      </c>
      <c r="B47" s="4"/>
      <c r="C47" s="4" t="s">
        <v>63</v>
      </c>
      <c r="D47" s="3">
        <v>732379</v>
      </c>
      <c r="E47" s="4" t="s">
        <v>36</v>
      </c>
      <c r="F47" s="16" t="s">
        <v>78</v>
      </c>
      <c r="G47" s="5">
        <v>17766</v>
      </c>
      <c r="H47" s="5">
        <v>2000</v>
      </c>
      <c r="I47" s="5">
        <v>4475.3599999999997</v>
      </c>
      <c r="J47" s="5">
        <v>9636.2900000000009</v>
      </c>
      <c r="K47" s="6">
        <f t="shared" si="0"/>
        <v>33877.65</v>
      </c>
    </row>
    <row r="48" spans="1:11" x14ac:dyDescent="0.3">
      <c r="A48" s="3">
        <v>15</v>
      </c>
      <c r="B48" s="4"/>
      <c r="C48" s="4" t="s">
        <v>63</v>
      </c>
      <c r="D48" s="3">
        <v>732358</v>
      </c>
      <c r="E48" s="4" t="s">
        <v>36</v>
      </c>
      <c r="F48" s="16" t="s">
        <v>79</v>
      </c>
      <c r="G48" s="5">
        <v>8370</v>
      </c>
      <c r="H48" s="5">
        <v>1500</v>
      </c>
      <c r="I48" s="5">
        <v>4860.63</v>
      </c>
      <c r="J48" s="5">
        <v>14190.29</v>
      </c>
      <c r="K48" s="6">
        <f t="shared" si="0"/>
        <v>28920.920000000002</v>
      </c>
    </row>
    <row r="49" spans="1:11" x14ac:dyDescent="0.3">
      <c r="A49" s="3">
        <v>16</v>
      </c>
      <c r="B49" s="4" t="s">
        <v>47</v>
      </c>
      <c r="C49" s="4" t="s">
        <v>16</v>
      </c>
      <c r="D49" s="3">
        <v>732773</v>
      </c>
      <c r="E49" s="4" t="s">
        <v>36</v>
      </c>
      <c r="F49" s="16" t="s">
        <v>80</v>
      </c>
      <c r="G49" s="5">
        <v>15162</v>
      </c>
      <c r="H49" s="5">
        <v>2500</v>
      </c>
      <c r="I49" s="5">
        <v>1163.74</v>
      </c>
      <c r="J49" s="5">
        <v>1884.95</v>
      </c>
      <c r="K49" s="6">
        <f t="shared" si="0"/>
        <v>20710.690000000002</v>
      </c>
    </row>
    <row r="50" spans="1:11" x14ac:dyDescent="0.3">
      <c r="A50" s="3">
        <v>17</v>
      </c>
      <c r="B50" s="4" t="s">
        <v>51</v>
      </c>
      <c r="C50" s="4" t="s">
        <v>81</v>
      </c>
      <c r="D50" s="3">
        <v>768814</v>
      </c>
      <c r="E50" s="4" t="s">
        <v>47</v>
      </c>
      <c r="F50" s="16" t="s">
        <v>82</v>
      </c>
      <c r="G50" s="5">
        <v>11152</v>
      </c>
      <c r="H50" s="5">
        <v>3000</v>
      </c>
      <c r="I50" s="5">
        <v>1869.1</v>
      </c>
      <c r="J50" s="5">
        <v>3590.64</v>
      </c>
      <c r="K50" s="6">
        <f t="shared" si="0"/>
        <v>19611.740000000002</v>
      </c>
    </row>
    <row r="51" spans="1:11" x14ac:dyDescent="0.3">
      <c r="A51" s="3">
        <v>18</v>
      </c>
      <c r="B51" s="4"/>
      <c r="C51" s="4" t="s">
        <v>83</v>
      </c>
      <c r="D51" s="3">
        <v>722243</v>
      </c>
      <c r="E51" s="4" t="s">
        <v>39</v>
      </c>
      <c r="F51" s="16" t="s">
        <v>84</v>
      </c>
      <c r="G51" s="5">
        <v>210820</v>
      </c>
      <c r="H51" s="5">
        <v>155000</v>
      </c>
      <c r="I51" s="5">
        <v>0</v>
      </c>
      <c r="J51" s="5">
        <v>67543.39</v>
      </c>
      <c r="K51" s="6">
        <f t="shared" si="0"/>
        <v>433363.39</v>
      </c>
    </row>
    <row r="52" spans="1:11" x14ac:dyDescent="0.3">
      <c r="A52" s="3">
        <v>19</v>
      </c>
      <c r="B52" s="4" t="s">
        <v>85</v>
      </c>
      <c r="C52" s="4" t="s">
        <v>83</v>
      </c>
      <c r="D52" s="3">
        <v>746362</v>
      </c>
      <c r="E52" s="4" t="s">
        <v>43</v>
      </c>
      <c r="F52" s="16" t="s">
        <v>86</v>
      </c>
      <c r="G52" s="5">
        <v>15085</v>
      </c>
      <c r="H52" s="5">
        <v>1000</v>
      </c>
      <c r="I52" s="5">
        <v>1973.07</v>
      </c>
      <c r="J52" s="5">
        <v>1590.32</v>
      </c>
      <c r="K52" s="6">
        <f t="shared" si="0"/>
        <v>19648.39</v>
      </c>
    </row>
    <row r="53" spans="1:11" x14ac:dyDescent="0.3">
      <c r="A53" s="3">
        <v>20</v>
      </c>
      <c r="B53" s="4" t="s">
        <v>53</v>
      </c>
      <c r="C53" s="4" t="s">
        <v>87</v>
      </c>
      <c r="D53" s="3">
        <v>761664</v>
      </c>
      <c r="E53" s="4" t="s">
        <v>49</v>
      </c>
      <c r="F53" s="16" t="s">
        <v>88</v>
      </c>
      <c r="G53" s="5">
        <v>8229</v>
      </c>
      <c r="H53" s="5">
        <v>1000</v>
      </c>
      <c r="I53" s="5">
        <v>1025.57</v>
      </c>
      <c r="J53" s="5">
        <v>416.81</v>
      </c>
      <c r="K53" s="6">
        <f t="shared" si="0"/>
        <v>10671.38</v>
      </c>
    </row>
    <row r="54" spans="1:11" x14ac:dyDescent="0.3">
      <c r="A54" s="3">
        <v>21</v>
      </c>
      <c r="B54" s="4"/>
      <c r="C54" s="4" t="s">
        <v>87</v>
      </c>
      <c r="D54" s="3">
        <v>759922</v>
      </c>
      <c r="E54" s="4" t="s">
        <v>44</v>
      </c>
      <c r="F54" s="16" t="s">
        <v>72</v>
      </c>
      <c r="G54" s="5">
        <v>11391</v>
      </c>
      <c r="H54" s="5">
        <v>1000</v>
      </c>
      <c r="I54" s="5">
        <v>2043.79</v>
      </c>
      <c r="J54" s="5">
        <v>1667.23</v>
      </c>
      <c r="K54" s="6">
        <f t="shared" si="0"/>
        <v>16102.02</v>
      </c>
    </row>
    <row r="55" spans="1:11" x14ac:dyDescent="0.3">
      <c r="A55" s="3">
        <v>22</v>
      </c>
      <c r="B55" s="4" t="s">
        <v>62</v>
      </c>
      <c r="C55" s="4" t="s">
        <v>68</v>
      </c>
      <c r="D55" s="3">
        <v>753284</v>
      </c>
      <c r="E55" s="4" t="s">
        <v>44</v>
      </c>
      <c r="F55" s="16" t="s">
        <v>89</v>
      </c>
      <c r="G55" s="5">
        <v>11970</v>
      </c>
      <c r="H55" s="5">
        <v>3700</v>
      </c>
      <c r="I55" s="5">
        <v>299.25</v>
      </c>
      <c r="J55" s="5">
        <v>2385.4699999999998</v>
      </c>
      <c r="K55" s="6">
        <f t="shared" si="0"/>
        <v>18354.72</v>
      </c>
    </row>
    <row r="56" spans="1:11" x14ac:dyDescent="0.3">
      <c r="A56" s="3">
        <v>23</v>
      </c>
      <c r="B56" s="4"/>
      <c r="C56" s="4" t="s">
        <v>68</v>
      </c>
      <c r="D56" s="3">
        <v>793766</v>
      </c>
      <c r="E56" s="4" t="s">
        <v>48</v>
      </c>
      <c r="F56" s="16" t="s">
        <v>90</v>
      </c>
      <c r="G56" s="5">
        <v>10142</v>
      </c>
      <c r="H56" s="5">
        <v>1000</v>
      </c>
      <c r="I56" s="5">
        <v>990.29</v>
      </c>
      <c r="J56" s="5">
        <v>833.62</v>
      </c>
      <c r="K56" s="6">
        <f t="shared" si="0"/>
        <v>12965.910000000002</v>
      </c>
    </row>
    <row r="57" spans="1:11" x14ac:dyDescent="0.3">
      <c r="A57" s="3">
        <v>24</v>
      </c>
      <c r="B57" s="4" t="s">
        <v>91</v>
      </c>
      <c r="C57" s="4" t="s">
        <v>16</v>
      </c>
      <c r="D57" s="3">
        <v>82542</v>
      </c>
      <c r="E57" s="4" t="s">
        <v>21</v>
      </c>
      <c r="F57" s="16" t="s">
        <v>92</v>
      </c>
      <c r="G57" s="5">
        <v>0</v>
      </c>
      <c r="H57" s="5">
        <v>1700</v>
      </c>
      <c r="I57" s="5">
        <v>945.03</v>
      </c>
      <c r="J57" s="5">
        <v>0</v>
      </c>
      <c r="K57" s="6">
        <f t="shared" si="0"/>
        <v>2645.0299999999997</v>
      </c>
    </row>
    <row r="58" spans="1:11" x14ac:dyDescent="0.3">
      <c r="A58" s="3"/>
      <c r="B58" s="4"/>
      <c r="C58" s="4"/>
      <c r="D58" s="3"/>
      <c r="E58" s="4"/>
      <c r="F58" s="3"/>
      <c r="G58" s="5"/>
      <c r="H58" s="5"/>
      <c r="I58" s="5"/>
      <c r="J58" s="5"/>
      <c r="K58" s="6">
        <f t="shared" si="0"/>
        <v>0</v>
      </c>
    </row>
    <row r="59" spans="1:11" x14ac:dyDescent="0.3">
      <c r="A59" s="3"/>
      <c r="B59" s="4"/>
      <c r="C59" s="4"/>
      <c r="D59" s="3"/>
      <c r="E59" s="4"/>
      <c r="F59" s="3"/>
      <c r="G59" s="5"/>
      <c r="H59" s="5"/>
      <c r="I59" s="5"/>
      <c r="J59" s="5"/>
      <c r="K59" s="6">
        <f t="shared" si="0"/>
        <v>0</v>
      </c>
    </row>
    <row r="60" spans="1:11" x14ac:dyDescent="0.3">
      <c r="A60" s="3"/>
      <c r="B60" s="4"/>
      <c r="C60" s="4"/>
      <c r="D60" s="3"/>
      <c r="E60" s="4"/>
      <c r="F60" s="3"/>
      <c r="G60" s="5"/>
      <c r="H60" s="5"/>
      <c r="I60" s="5"/>
      <c r="J60" s="5" t="s">
        <v>11</v>
      </c>
      <c r="K60" s="6">
        <f>SUM(K34:K59)</f>
        <v>869470.21000000008</v>
      </c>
    </row>
    <row r="61" spans="1:11" x14ac:dyDescent="0.3">
      <c r="A61" s="1"/>
      <c r="B61" s="8"/>
      <c r="C61" s="11"/>
      <c r="D61" s="1"/>
      <c r="E61" s="8"/>
      <c r="F61" s="9"/>
      <c r="G61" s="10"/>
      <c r="H61" s="10"/>
      <c r="I61" s="10"/>
      <c r="J61" s="10"/>
      <c r="K61" s="6"/>
    </row>
    <row r="62" spans="1:11" x14ac:dyDescent="0.3">
      <c r="A62" s="1"/>
      <c r="B62" s="8"/>
      <c r="C62" s="11"/>
      <c r="D62" s="1"/>
      <c r="E62" s="8"/>
      <c r="F62" s="9"/>
      <c r="G62" s="10"/>
      <c r="H62" s="10"/>
      <c r="I62" s="10"/>
      <c r="J62" s="10"/>
      <c r="K62" s="6">
        <f t="shared" ref="K62" si="1">SUM(G62:J62)</f>
        <v>0</v>
      </c>
    </row>
    <row r="63" spans="1:11" x14ac:dyDescent="0.3">
      <c r="A63" s="22" t="s">
        <v>11</v>
      </c>
      <c r="B63" s="23"/>
      <c r="C63" s="23"/>
      <c r="D63" s="24"/>
      <c r="E63" s="12"/>
      <c r="F63" s="13"/>
      <c r="G63" s="14">
        <f>SUM(G4:G62)</f>
        <v>810941</v>
      </c>
      <c r="H63" s="14">
        <f>SUM(H4:H62)</f>
        <v>376900</v>
      </c>
      <c r="I63" s="14">
        <f>SUM(I4:I62)</f>
        <v>109628.22000000003</v>
      </c>
      <c r="J63" s="14">
        <f>SUM(J4:J62)</f>
        <v>530102.11999999988</v>
      </c>
      <c r="K63" s="15">
        <f>K32+K60</f>
        <v>1827571.3399999999</v>
      </c>
    </row>
  </sheetData>
  <mergeCells count="3">
    <mergeCell ref="A1:K1"/>
    <mergeCell ref="A2:K2"/>
    <mergeCell ref="A63:D63"/>
  </mergeCells>
  <pageMargins left="0.7" right="0.7" top="0.2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2024-06-08T09:03:44Z</dcterms:modified>
</cp:coreProperties>
</file>